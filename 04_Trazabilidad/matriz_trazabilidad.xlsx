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y Mendoza\Music\ISR401-PFC-ERS-EQUIPOB\04_Trazabilidad\"/>
    </mc:Choice>
  </mc:AlternateContent>
  <xr:revisionPtr revIDLastSave="0" documentId="13_ncr:1_{9AA08E8E-AECC-4CE9-92A5-D04C971325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triz de Trazabilida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1" l="1"/>
  <c r="B36" i="1"/>
  <c r="B35" i="1"/>
</calcChain>
</file>

<file path=xl/sharedStrings.xml><?xml version="1.0" encoding="utf-8"?>
<sst xmlns="http://schemas.openxmlformats.org/spreadsheetml/2006/main" count="142" uniqueCount="113">
  <si>
    <t>PE4 — Unidad IV | Sistema del PFC: MundiPets | Formato: Stakeholder -&gt; RF -&gt; CU -&gt; Clase/Modulo -&gt; Prueba</t>
  </si>
  <si>
    <t>RF</t>
  </si>
  <si>
    <t>Stakeholder</t>
  </si>
  <si>
    <t>CU</t>
  </si>
  <si>
    <t>Clase/Módulo</t>
  </si>
  <si>
    <t>Prueba</t>
  </si>
  <si>
    <t>RF-01</t>
  </si>
  <si>
    <t>PROP-02 (propietaria)</t>
  </si>
  <si>
    <t>CU-01</t>
  </si>
  <si>
    <t>Mascota</t>
  </si>
  <si>
    <t>CP-01</t>
  </si>
  <si>
    <t>RF-03</t>
  </si>
  <si>
    <t>CU-10</t>
  </si>
  <si>
    <t>Mascota, HistorialMedico</t>
  </si>
  <si>
    <t>CP-03</t>
  </si>
  <si>
    <t>RF-04</t>
  </si>
  <si>
    <t>Usuarios encuestados</t>
  </si>
  <si>
    <t>CU-11</t>
  </si>
  <si>
    <t>Mascota (búsqueda)</t>
  </si>
  <si>
    <t>CP-04</t>
  </si>
  <si>
    <t>RF-13</t>
  </si>
  <si>
    <t>PROP-01 (propietario)</t>
  </si>
  <si>
    <t>CU-04</t>
  </si>
  <si>
    <t>Publicacion</t>
  </si>
  <si>
    <t>CP-13</t>
  </si>
  <si>
    <t>RF-17</t>
  </si>
  <si>
    <t>Publicacion, Módulo de IA</t>
  </si>
  <si>
    <t>CP-17</t>
  </si>
  <si>
    <t>RF-21</t>
  </si>
  <si>
    <t>VET-05 (veterinario)</t>
  </si>
  <si>
    <t>Microchip</t>
  </si>
  <si>
    <t>CP-21</t>
  </si>
  <si>
    <t>RF-25</t>
  </si>
  <si>
    <t>PROP-07 (propietaria)</t>
  </si>
  <si>
    <t>—</t>
  </si>
  <si>
    <t>AvisoExtraviado</t>
  </si>
  <si>
    <t>CP-25</t>
  </si>
  <si>
    <t>RF-05</t>
  </si>
  <si>
    <t>SolicitudAdopcion</t>
  </si>
  <si>
    <t>CP-05</t>
  </si>
  <si>
    <t>RF-15</t>
  </si>
  <si>
    <t>CU-07</t>
  </si>
  <si>
    <t>SolicitudAdopcion, SolicitudCruza</t>
  </si>
  <si>
    <t>CP-15</t>
  </si>
  <si>
    <t>RF-18</t>
  </si>
  <si>
    <t>PROP-06 (propietaria)</t>
  </si>
  <si>
    <t>CP-18</t>
  </si>
  <si>
    <t>RF-20</t>
  </si>
  <si>
    <t>PROP-08 (propietario)</t>
  </si>
  <si>
    <t>SolicitudAdopcion (extensión)</t>
  </si>
  <si>
    <t>CP-20</t>
  </si>
  <si>
    <t>RF-22</t>
  </si>
  <si>
    <t>SolicitudAdopcion (seguimiento)</t>
  </si>
  <si>
    <t>CP-22</t>
  </si>
  <si>
    <t>RF-23</t>
  </si>
  <si>
    <t>PROP-04 (propietario)</t>
  </si>
  <si>
    <t>CU-06</t>
  </si>
  <si>
    <t>AlertaRiesgo</t>
  </si>
  <si>
    <t>CP-23</t>
  </si>
  <si>
    <t>RF-02</t>
  </si>
  <si>
    <t>CU-02</t>
  </si>
  <si>
    <t>HistorialMedico</t>
  </si>
  <si>
    <t>CP-02</t>
  </si>
  <si>
    <t>RF-09</t>
  </si>
  <si>
    <t>VET-01 (veterinaria)</t>
  </si>
  <si>
    <t>CU-09</t>
  </si>
  <si>
    <t>HistorialMedico, RD-03</t>
  </si>
  <si>
    <t>CP-09</t>
  </si>
  <si>
    <t>RF-14</t>
  </si>
  <si>
    <t>CU-03</t>
  </si>
  <si>
    <t>HistorialMedico (vacunas)</t>
  </si>
  <si>
    <t>CP-14</t>
  </si>
  <si>
    <t>RF-24</t>
  </si>
  <si>
    <t>VET-04 (veterinaria)</t>
  </si>
  <si>
    <t>CP-24</t>
  </si>
  <si>
    <t>RF-06</t>
  </si>
  <si>
    <t>RegistroCompatibilidad, Módulo de IA</t>
  </si>
  <si>
    <t>CP-06</t>
  </si>
  <si>
    <t>RF-08</t>
  </si>
  <si>
    <t>CU-05</t>
  </si>
  <si>
    <t>SolicitudCruza</t>
  </si>
  <si>
    <t>CP-08</t>
  </si>
  <si>
    <t>RF-16</t>
  </si>
  <si>
    <t>CU-13</t>
  </si>
  <si>
    <t>AntecedenteGenetico</t>
  </si>
  <si>
    <t>CP-16</t>
  </si>
  <si>
    <t>RF-19</t>
  </si>
  <si>
    <t>CertificadoVeterinario</t>
  </si>
  <si>
    <t>CP-19</t>
  </si>
  <si>
    <t>RF-11</t>
  </si>
  <si>
    <t>CU-12</t>
  </si>
  <si>
    <t>Usuario (privacidad)</t>
  </si>
  <si>
    <t>CP-11</t>
  </si>
  <si>
    <t>RF-12</t>
  </si>
  <si>
    <t>Usuario</t>
  </si>
  <si>
    <t>CP-12</t>
  </si>
  <si>
    <t>RF-07</t>
  </si>
  <si>
    <t>CU-08</t>
  </si>
  <si>
    <t>Mensaje</t>
  </si>
  <si>
    <t>CP-07</t>
  </si>
  <si>
    <t>RF-10</t>
  </si>
  <si>
    <t>HistorialMedico (recordatorios)</t>
  </si>
  <si>
    <t>CP-10</t>
  </si>
  <si>
    <t>RF-26</t>
  </si>
  <si>
    <t>RL-04 (LOPDP, Art. 15)</t>
  </si>
  <si>
    <t>Usuario (eliminación)</t>
  </si>
  <si>
    <t>CP-26</t>
  </si>
  <si>
    <t>Nota: filas resaltadas en naranja = requisitos huérfanos (sin Caso de Uso formalmente documentado en el ERS). RF-25 y RF-20: funcionalidades Could sin CU dedicado. RF-10: se apoya en el flujo de RF-14 sin CU propio. RF-26: requisito nuevo (RFC-01), pendiente de CU en una futura iteración del modelado UML.</t>
  </si>
  <si>
    <t>Resumen:</t>
  </si>
  <si>
    <t>Total de requisitos trazados:</t>
  </si>
  <si>
    <t>Con Caso de Uso asignado:</t>
  </si>
  <si>
    <t>Requisitos huérfanos (sin CU):</t>
  </si>
  <si>
    <t>MATRIZ DE TRAZABILIDAD EXTENDIDA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</si>
</sst>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10"/>
      <color rgb="FF44444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8"/>
      <color rgb="FFC0000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5CD"/>
        <bgColor rgb="FFFFCC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Normal="100" workbookViewId="0">
      <selection activeCell="H41" sqref="H41"/>
    </sheetView>
  </sheetViews>
  <sheetFormatPr baseColWidth="10" defaultColWidth="8.6640625" defaultRowHeight="14.4" x14ac:dyDescent="0.3"/>
  <cols>
    <col min="1" max="1" width="27.5546875" customWidth="1"/>
    <col min="2" max="2" width="24" customWidth="1"/>
    <col min="3" max="3" width="8" customWidth="1"/>
    <col min="4" max="4" width="34" customWidth="1"/>
    <col min="5" max="5" width="10" customWidth="1"/>
  </cols>
  <sheetData>
    <row r="1" spans="1:5" ht="16.8" x14ac:dyDescent="0.3">
      <c r="A1" s="3" t="s">
        <v>112</v>
      </c>
      <c r="B1" s="3"/>
      <c r="C1" s="3"/>
      <c r="D1" s="3"/>
      <c r="E1" s="3"/>
    </row>
    <row r="2" spans="1:5" x14ac:dyDescent="0.3">
      <c r="A2" s="2" t="s">
        <v>0</v>
      </c>
      <c r="B2" s="2"/>
      <c r="C2" s="2"/>
      <c r="D2" s="2"/>
      <c r="E2" s="2"/>
    </row>
    <row r="4" spans="1:5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5" x14ac:dyDescent="0.3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</row>
    <row r="6" spans="1:5" x14ac:dyDescent="0.3">
      <c r="A6" s="5" t="s">
        <v>11</v>
      </c>
      <c r="B6" s="5" t="s">
        <v>7</v>
      </c>
      <c r="C6" s="5" t="s">
        <v>12</v>
      </c>
      <c r="D6" s="5" t="s">
        <v>13</v>
      </c>
      <c r="E6" s="5" t="s">
        <v>14</v>
      </c>
    </row>
    <row r="7" spans="1:5" x14ac:dyDescent="0.3">
      <c r="A7" s="5" t="s">
        <v>15</v>
      </c>
      <c r="B7" s="5" t="s">
        <v>16</v>
      </c>
      <c r="C7" s="5" t="s">
        <v>17</v>
      </c>
      <c r="D7" s="5" t="s">
        <v>18</v>
      </c>
      <c r="E7" s="5" t="s">
        <v>19</v>
      </c>
    </row>
    <row r="8" spans="1:5" x14ac:dyDescent="0.3">
      <c r="A8" s="5" t="s">
        <v>20</v>
      </c>
      <c r="B8" s="5" t="s">
        <v>21</v>
      </c>
      <c r="C8" s="5" t="s">
        <v>22</v>
      </c>
      <c r="D8" s="5" t="s">
        <v>23</v>
      </c>
      <c r="E8" s="5" t="s">
        <v>24</v>
      </c>
    </row>
    <row r="9" spans="1:5" x14ac:dyDescent="0.3">
      <c r="A9" s="5" t="s">
        <v>25</v>
      </c>
      <c r="B9" s="5" t="s">
        <v>21</v>
      </c>
      <c r="C9" s="5" t="s">
        <v>22</v>
      </c>
      <c r="D9" s="5" t="s">
        <v>26</v>
      </c>
      <c r="E9" s="5" t="s">
        <v>27</v>
      </c>
    </row>
    <row r="10" spans="1:5" x14ac:dyDescent="0.3">
      <c r="A10" s="5" t="s">
        <v>28</v>
      </c>
      <c r="B10" s="5" t="s">
        <v>29</v>
      </c>
      <c r="C10" s="5" t="s">
        <v>8</v>
      </c>
      <c r="D10" s="5" t="s">
        <v>30</v>
      </c>
      <c r="E10" s="5" t="s">
        <v>31</v>
      </c>
    </row>
    <row r="11" spans="1:5" x14ac:dyDescent="0.3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</row>
    <row r="12" spans="1:5" x14ac:dyDescent="0.3">
      <c r="A12" s="5" t="s">
        <v>37</v>
      </c>
      <c r="B12" s="5" t="s">
        <v>21</v>
      </c>
      <c r="C12" s="5" t="s">
        <v>22</v>
      </c>
      <c r="D12" s="5" t="s">
        <v>38</v>
      </c>
      <c r="E12" s="5" t="s">
        <v>39</v>
      </c>
    </row>
    <row r="13" spans="1:5" x14ac:dyDescent="0.3">
      <c r="A13" s="5" t="s">
        <v>40</v>
      </c>
      <c r="B13" s="5" t="s">
        <v>21</v>
      </c>
      <c r="C13" s="5" t="s">
        <v>41</v>
      </c>
      <c r="D13" s="5" t="s">
        <v>42</v>
      </c>
      <c r="E13" s="5" t="s">
        <v>43</v>
      </c>
    </row>
    <row r="14" spans="1:5" x14ac:dyDescent="0.3">
      <c r="A14" s="5" t="s">
        <v>44</v>
      </c>
      <c r="B14" s="5" t="s">
        <v>45</v>
      </c>
      <c r="C14" s="5" t="s">
        <v>22</v>
      </c>
      <c r="D14" s="5" t="s">
        <v>38</v>
      </c>
      <c r="E14" s="5" t="s">
        <v>46</v>
      </c>
    </row>
    <row r="15" spans="1:5" x14ac:dyDescent="0.3">
      <c r="A15" s="6" t="s">
        <v>47</v>
      </c>
      <c r="B15" s="6" t="s">
        <v>48</v>
      </c>
      <c r="C15" s="6" t="s">
        <v>34</v>
      </c>
      <c r="D15" s="6" t="s">
        <v>49</v>
      </c>
      <c r="E15" s="6" t="s">
        <v>50</v>
      </c>
    </row>
    <row r="16" spans="1:5" x14ac:dyDescent="0.3">
      <c r="A16" s="5" t="s">
        <v>51</v>
      </c>
      <c r="B16" s="5" t="s">
        <v>29</v>
      </c>
      <c r="C16" s="5" t="s">
        <v>41</v>
      </c>
      <c r="D16" s="5" t="s">
        <v>52</v>
      </c>
      <c r="E16" s="5" t="s">
        <v>53</v>
      </c>
    </row>
    <row r="17" spans="1:5" x14ac:dyDescent="0.3">
      <c r="A17" s="5" t="s">
        <v>54</v>
      </c>
      <c r="B17" s="5" t="s">
        <v>55</v>
      </c>
      <c r="C17" s="5" t="s">
        <v>56</v>
      </c>
      <c r="D17" s="5" t="s">
        <v>57</v>
      </c>
      <c r="E17" s="5" t="s">
        <v>58</v>
      </c>
    </row>
    <row r="18" spans="1:5" x14ac:dyDescent="0.3">
      <c r="A18" s="5" t="s">
        <v>59</v>
      </c>
      <c r="B18" s="5" t="s">
        <v>21</v>
      </c>
      <c r="C18" s="5" t="s">
        <v>60</v>
      </c>
      <c r="D18" s="5" t="s">
        <v>61</v>
      </c>
      <c r="E18" s="5" t="s">
        <v>62</v>
      </c>
    </row>
    <row r="19" spans="1:5" x14ac:dyDescent="0.3">
      <c r="A19" s="5" t="s">
        <v>63</v>
      </c>
      <c r="B19" s="5" t="s">
        <v>64</v>
      </c>
      <c r="C19" s="5" t="s">
        <v>65</v>
      </c>
      <c r="D19" s="5" t="s">
        <v>66</v>
      </c>
      <c r="E19" s="5" t="s">
        <v>67</v>
      </c>
    </row>
    <row r="20" spans="1:5" x14ac:dyDescent="0.3">
      <c r="A20" s="5" t="s">
        <v>68</v>
      </c>
      <c r="B20" s="5" t="s">
        <v>7</v>
      </c>
      <c r="C20" s="5" t="s">
        <v>69</v>
      </c>
      <c r="D20" s="5" t="s">
        <v>70</v>
      </c>
      <c r="E20" s="5" t="s">
        <v>71</v>
      </c>
    </row>
    <row r="21" spans="1:5" x14ac:dyDescent="0.3">
      <c r="A21" s="5" t="s">
        <v>72</v>
      </c>
      <c r="B21" s="5" t="s">
        <v>73</v>
      </c>
      <c r="C21" s="5" t="s">
        <v>69</v>
      </c>
      <c r="D21" s="5" t="s">
        <v>70</v>
      </c>
      <c r="E21" s="5" t="s">
        <v>74</v>
      </c>
    </row>
    <row r="22" spans="1:5" x14ac:dyDescent="0.3">
      <c r="A22" s="5" t="s">
        <v>75</v>
      </c>
      <c r="B22" s="5" t="s">
        <v>21</v>
      </c>
      <c r="C22" s="5" t="s">
        <v>56</v>
      </c>
      <c r="D22" s="5" t="s">
        <v>76</v>
      </c>
      <c r="E22" s="5" t="s">
        <v>77</v>
      </c>
    </row>
    <row r="23" spans="1:5" x14ac:dyDescent="0.3">
      <c r="A23" s="5" t="s">
        <v>78</v>
      </c>
      <c r="B23" s="5" t="s">
        <v>21</v>
      </c>
      <c r="C23" s="5" t="s">
        <v>79</v>
      </c>
      <c r="D23" s="5" t="s">
        <v>80</v>
      </c>
      <c r="E23" s="5" t="s">
        <v>81</v>
      </c>
    </row>
    <row r="24" spans="1:5" x14ac:dyDescent="0.3">
      <c r="A24" s="5" t="s">
        <v>82</v>
      </c>
      <c r="B24" s="5" t="s">
        <v>21</v>
      </c>
      <c r="C24" s="5" t="s">
        <v>83</v>
      </c>
      <c r="D24" s="5" t="s">
        <v>84</v>
      </c>
      <c r="E24" s="5" t="s">
        <v>85</v>
      </c>
    </row>
    <row r="25" spans="1:5" x14ac:dyDescent="0.3">
      <c r="A25" s="5" t="s">
        <v>86</v>
      </c>
      <c r="B25" s="5" t="s">
        <v>45</v>
      </c>
      <c r="C25" s="5" t="s">
        <v>56</v>
      </c>
      <c r="D25" s="5" t="s">
        <v>87</v>
      </c>
      <c r="E25" s="5" t="s">
        <v>88</v>
      </c>
    </row>
    <row r="26" spans="1:5" x14ac:dyDescent="0.3">
      <c r="A26" s="5" t="s">
        <v>89</v>
      </c>
      <c r="B26" s="5" t="s">
        <v>7</v>
      </c>
      <c r="C26" s="5" t="s">
        <v>90</v>
      </c>
      <c r="D26" s="5" t="s">
        <v>91</v>
      </c>
      <c r="E26" s="5" t="s">
        <v>92</v>
      </c>
    </row>
    <row r="27" spans="1:5" x14ac:dyDescent="0.3">
      <c r="A27" s="5" t="s">
        <v>93</v>
      </c>
      <c r="B27" s="5" t="s">
        <v>21</v>
      </c>
      <c r="C27" s="5" t="s">
        <v>65</v>
      </c>
      <c r="D27" s="5" t="s">
        <v>94</v>
      </c>
      <c r="E27" s="5" t="s">
        <v>95</v>
      </c>
    </row>
    <row r="28" spans="1:5" x14ac:dyDescent="0.3">
      <c r="A28" s="5" t="s">
        <v>96</v>
      </c>
      <c r="B28" s="5" t="s">
        <v>7</v>
      </c>
      <c r="C28" s="5" t="s">
        <v>97</v>
      </c>
      <c r="D28" s="5" t="s">
        <v>98</v>
      </c>
      <c r="E28" s="5" t="s">
        <v>99</v>
      </c>
    </row>
    <row r="29" spans="1:5" x14ac:dyDescent="0.3">
      <c r="A29" s="6" t="s">
        <v>100</v>
      </c>
      <c r="B29" s="6" t="s">
        <v>7</v>
      </c>
      <c r="C29" s="6" t="s">
        <v>34</v>
      </c>
      <c r="D29" s="6" t="s">
        <v>101</v>
      </c>
      <c r="E29" s="6" t="s">
        <v>102</v>
      </c>
    </row>
    <row r="30" spans="1:5" x14ac:dyDescent="0.3">
      <c r="A30" s="6" t="s">
        <v>103</v>
      </c>
      <c r="B30" s="6" t="s">
        <v>104</v>
      </c>
      <c r="C30" s="6" t="s">
        <v>34</v>
      </c>
      <c r="D30" s="6" t="s">
        <v>105</v>
      </c>
      <c r="E30" s="6" t="s">
        <v>106</v>
      </c>
    </row>
    <row r="32" spans="1:5" ht="39.75" customHeight="1" x14ac:dyDescent="0.3">
      <c r="A32" s="1" t="s">
        <v>107</v>
      </c>
      <c r="B32" s="1"/>
      <c r="C32" s="1"/>
      <c r="D32" s="1"/>
      <c r="E32" s="1"/>
    </row>
    <row r="34" spans="1:2" x14ac:dyDescent="0.3">
      <c r="A34" s="7" t="s">
        <v>108</v>
      </c>
    </row>
    <row r="35" spans="1:2" x14ac:dyDescent="0.3">
      <c r="A35" s="8" t="s">
        <v>109</v>
      </c>
      <c r="B35">
        <f>COUNTA(A5:A30)</f>
        <v>26</v>
      </c>
    </row>
    <row r="36" spans="1:2" x14ac:dyDescent="0.3">
      <c r="A36" s="8" t="s">
        <v>110</v>
      </c>
      <c r="B36">
        <f>COUNTIF(C5:C30,"CU-*")</f>
        <v>22</v>
      </c>
    </row>
    <row r="37" spans="1:2" x14ac:dyDescent="0.3">
      <c r="A37" s="8" t="s">
        <v>111</v>
      </c>
      <c r="B37">
        <f>COUNTIF(C5:C30,"—")</f>
        <v>4</v>
      </c>
    </row>
  </sheetData>
  <mergeCells count="3">
    <mergeCell ref="A1:E1"/>
    <mergeCell ref="A2:E2"/>
    <mergeCell ref="A32:E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Andy Mendoza</cp:lastModifiedBy>
  <cp:revision>0</cp:revision>
  <dcterms:created xsi:type="dcterms:W3CDTF">2026-08-09T20:09:51Z</dcterms:created>
  <dcterms:modified xsi:type="dcterms:W3CDTF">2026-08-09T20:12:38Z</dcterms:modified>
  <dc:language>en-US</dc:language>
</cp:coreProperties>
</file>