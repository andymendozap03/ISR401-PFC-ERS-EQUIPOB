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y Mendoza\Desktop\files\"/>
    </mc:Choice>
  </mc:AlternateContent>
  <xr:revisionPtr revIDLastSave="0" documentId="13_ncr:1_{A6754B9F-562E-4C1E-80BA-C95E658F5BB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nexo B - Registro Defecto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3" i="1" l="1"/>
  <c r="B32" i="1"/>
  <c r="F31" i="1"/>
  <c r="D31" i="1"/>
  <c r="B31" i="1"/>
</calcChain>
</file>

<file path=xl/sharedStrings.xml><?xml version="1.0" encoding="utf-8"?>
<sst xmlns="http://schemas.openxmlformats.org/spreadsheetml/2006/main" count="154" uniqueCount="92">
  <si>
    <t>ANEXO B — REGISTRO DE DEFECTOS (CONSOLIDADO DE LA REUNIÓN DE INSPECCIÓN)</t>
  </si>
  <si>
    <t>PE4 — Unidad IV | Sistema del PFC: MundiPets | ERS_SRS_2A_v1.0 | Alcance: Secciones 2, 3 y 5</t>
  </si>
  <si>
    <t>Fecha de la reunión:</t>
  </si>
  <si>
    <t>Moderador:</t>
  </si>
  <si>
    <t>Mendoza Párraga Andy Johel</t>
  </si>
  <si>
    <t>Duración:</t>
  </si>
  <si>
    <t>Lector:</t>
  </si>
  <si>
    <t>Inspector 1:</t>
  </si>
  <si>
    <t>Cedeño Avila Winston Damian</t>
  </si>
  <si>
    <t>Inspector 2:</t>
  </si>
  <si>
    <t>Cordova Carreño Mayra Lucila</t>
  </si>
  <si>
    <t>N.°</t>
  </si>
  <si>
    <t>Sección</t>
  </si>
  <si>
    <t>Descripción del defecto</t>
  </si>
  <si>
    <t>Tipo (propiedad)</t>
  </si>
  <si>
    <t>Severidad</t>
  </si>
  <si>
    <t>Requisito(s) afectado(s)</t>
  </si>
  <si>
    <t>Detectado por</t>
  </si>
  <si>
    <t>Corrección aplicada (S/N)</t>
  </si>
  <si>
    <t>3.3.16 (RNF-16)</t>
  </si>
  <si>
    <t>Uso de 'radio &gt;= 1 km' permite radios arbitrariamente grandes, volviendo inútil la búsqueda local sin definir un límite superior.</t>
  </si>
  <si>
    <t>Ambigüedad</t>
  </si>
  <si>
    <t>Menor</t>
  </si>
  <si>
    <t>RNF-16</t>
  </si>
  <si>
    <t>Winston Cedeño</t>
  </si>
  <si>
    <t>No</t>
  </si>
  <si>
    <t>3.2.12 (RF-12) y 4.2 (CU-09)</t>
  </si>
  <si>
    <t>No se especifica qué dato valida la identidad profesional de la Veterinaria (ej. número de registro del ente regulador), pese a ser crítico para CU-09.</t>
  </si>
  <si>
    <t>Completitud</t>
  </si>
  <si>
    <t>Mayor</t>
  </si>
  <si>
    <t>RF-12, CU-09</t>
  </si>
  <si>
    <t>3.2.24 (RF-24) vs 4.2 (CU-02)</t>
  </si>
  <si>
    <t>RF-24 (trazabilidad de cepa/lote) es prioridad Should, pero el CU-02 (Must) depende obligatoriamente de esos mismos datos en su paso 4, generando una dependencia bloqueante inconsistente con la priorización.</t>
  </si>
  <si>
    <t>Consistencia</t>
  </si>
  <si>
    <t>RF-24, CU-02</t>
  </si>
  <si>
    <t>3.3.13 a 3.3.15 (RNF-13, 14, 15)</t>
  </si>
  <si>
    <t>El criterio de verificación exige 'calificación media de comprensión &gt;= 4/5' pero no define tamaño de muestra ni instrumento estandarizado, impidiendo repetibilidad de la medición.</t>
  </si>
  <si>
    <t>Verificabilidad</t>
  </si>
  <si>
    <t>RNF-13, RNF-14, RNF-15</t>
  </si>
  <si>
    <t>3.4 (RL-04) y 3.5.6 (RD-06)</t>
  </si>
  <si>
    <t>RL-04 origina RD-06 (eliminación de cuenta), pero ningún RF ni CU implementa la función para que el usuario ejerza efectivamente ese derecho.</t>
  </si>
  <si>
    <t>Trazabilidad</t>
  </si>
  <si>
    <t>Crítico</t>
  </si>
  <si>
    <t>RL-04, RD-06</t>
  </si>
  <si>
    <t>3.3.2 (RNF-02) vs 6.1 (MVP)</t>
  </si>
  <si>
    <t>RNF-02 exige disponibilidad &gt;=99% mensual, pero el MVP se declara como aplicación local sin servidor (localStorage), volviendo el criterio no medible en esta iteración.</t>
  </si>
  <si>
    <t>Factibilidad</t>
  </si>
  <si>
    <t>RNF-02</t>
  </si>
  <si>
    <t>3.6.14 (CA-14)</t>
  </si>
  <si>
    <t>El escenario de rechazo por seguimiento sobre adopción no completada termina en 'el sistema rechaza la operación' sin especificar el mensaje o feedback visual mostrado al usuario.</t>
  </si>
  <si>
    <t>CA-14</t>
  </si>
  <si>
    <t>Mayra Cordova</t>
  </si>
  <si>
    <t>3.2.18 y 3.6.13 (RF-18 vs HU-13)</t>
  </si>
  <si>
    <t>Inconsistencia terminológica: RF-18 usa 'visita al hogar' en su descripción pero 'resultado de visita' en sus Entradas, sin uniformidad léxica.</t>
  </si>
  <si>
    <t>RF-18, HU-13</t>
  </si>
  <si>
    <t>2.3 y 3.2.5 (Tabla 5 vs RF-05)</t>
  </si>
  <si>
    <t>La Tabla 5 asigna al Refugio de animales la función de 'revisar solicitudes y comunicarse con adoptantes', pero RF-05 solo lista como actores a Adoptante y Propietario, dejando fuera al Refugio.</t>
  </si>
  <si>
    <t>RF-05, Tabla 5 (clases de usuario)</t>
  </si>
  <si>
    <t>3.2.2 y 3.6.2 (RF-02 vs HU-02)</t>
  </si>
  <si>
    <t>RF-02 no lista 'fecha de aplicación' como entrada explícita para vacunas, pero HU-02/CA-02 sí exige ese dato y genera un error si se omite.</t>
  </si>
  <si>
    <t>RF-02, HU-02, CA-02</t>
  </si>
  <si>
    <t>2.5 y 3.3.11 (Entorno operativo vs RNF-11)</t>
  </si>
  <si>
    <t>La Sección 2.5 incluye 'Microsoft Edge' como navegador soportado, pero RNF-11 solo exige Chrome, Firefox y Safari, excluyendo Edge sin justificación.</t>
  </si>
  <si>
    <t>RNF-11</t>
  </si>
  <si>
    <t>5.3.0c y 3.2.4 (Kano vs RF-04)</t>
  </si>
  <si>
    <t>El Modelo de Kano asigna baja relevancia (42,1%) al filtro de búsqueda IM-08, pero el ERS lo mantiene con prioridad Should sin reconsiderar el resultado empírico.</t>
  </si>
  <si>
    <t>RF-04</t>
  </si>
  <si>
    <t>Andy Mendoza</t>
  </si>
  <si>
    <t>RF-01</t>
  </si>
  <si>
    <t>El campo Entradas de RF-01 incluye 'descripción', pero la descripción narrativa del requisito no menciona ese campo como parte de la información capturada.</t>
  </si>
  <si>
    <t>RL-07 (Sección 2, requisitos legales)</t>
  </si>
  <si>
    <t>La definición de 'titular' establece que el historial médico no es un dato personal protegido, pero RL-07 afirma que se protege como extensión indirecta de esos datos, generando contradicción.</t>
  </si>
  <si>
    <t>RL-07</t>
  </si>
  <si>
    <t>El texto declara '40 filas (TR-01 a TR-40)' y dos oraciones después declara '50 elementos'/'50 filas', inconsistencia numérica dentro del mismo párrafo.</t>
  </si>
  <si>
    <t>RNF-04</t>
  </si>
  <si>
    <t>El criterio de verificación exige 90% de finalización sin capacitación, pero no define tamaño ni perfil de la muestra de prueba, impidiendo repetir la medición.</t>
  </si>
  <si>
    <t>RD-03 (y RD-01 a RD-09 en general)</t>
  </si>
  <si>
    <t>Las restricciones de diseño no incluyen 'Criterio de verificación' explícito, a diferencia de los RF y RNF, dificultando comprobar objetivamente su cumplimiento.</t>
  </si>
  <si>
    <t>RD-01 a RD-09</t>
  </si>
  <si>
    <t>Nota: registro consolidado a partir de los Anexos A individuales de los tres integrantes (6 defectos cada uno). Cumple el mínimo de 15 defectos únicos exigido por la guía, con al menos 3 defectos críticos o mayores (se registran 2 críticos y 7 mayores).</t>
  </si>
  <si>
    <t>Resumen de severidad:</t>
  </si>
  <si>
    <t>Críticos:</t>
  </si>
  <si>
    <t>Mayores:</t>
  </si>
  <si>
    <t>Menores:</t>
  </si>
  <si>
    <t>Total:</t>
  </si>
  <si>
    <t>Críticos + Mayores (mínimo 3 exigido):</t>
  </si>
  <si>
    <t>Aprox. 60 min</t>
  </si>
  <si>
    <t>Sección 5.5, matriz de trazabilidad</t>
  </si>
  <si>
    <t>Sección 5.1 vs. Sección 5.5</t>
  </si>
  <si>
    <t>La clasificación de requisitos (5.1) declara 59 requisitos vigentes, pero la matriz de trazabilidad (5.5) declara cubrir solo 50 elementos, sin incluir los 9 RL ni explicar por qué quedan fuera.</t>
  </si>
  <si>
    <t>Sección 5.1, Sección 5.5, RL-01 a RL-09</t>
  </si>
  <si>
    <t>Sección 5.5 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</si>
</sst>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10"/>
      <color rgb="FF444444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i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CE5CD"/>
      </patternFill>
    </fill>
    <fill>
      <patternFill patternType="solid">
        <fgColor rgb="FF1F4E78"/>
        <bgColor rgb="FF003366"/>
      </patternFill>
    </fill>
    <fill>
      <patternFill patternType="solid">
        <fgColor rgb="FFFCE5CD"/>
        <bgColor rgb="FFFFF2CC"/>
      </patternFill>
    </fill>
    <fill>
      <patternFill patternType="solid">
        <fgColor rgb="FFF8CBCB"/>
        <bgColor rgb="FFFCE5CD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0" borderId="0" xfId="0" applyFont="1"/>
    <xf numFmtId="22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zoomScale="115" zoomScaleNormal="115" workbookViewId="0">
      <selection activeCell="C5" sqref="C5"/>
    </sheetView>
  </sheetViews>
  <sheetFormatPr baseColWidth="10" defaultColWidth="8.6640625" defaultRowHeight="14.4" x14ac:dyDescent="0.3"/>
  <cols>
    <col min="1" max="1" width="19" customWidth="1"/>
    <col min="2" max="2" width="20" customWidth="1"/>
    <col min="3" max="3" width="52" customWidth="1"/>
    <col min="4" max="4" width="16" customWidth="1"/>
    <col min="5" max="5" width="13.109375" customWidth="1"/>
    <col min="6" max="6" width="22" customWidth="1"/>
    <col min="7" max="7" width="16" customWidth="1"/>
    <col min="8" max="8" width="12" customWidth="1"/>
  </cols>
  <sheetData>
    <row r="1" spans="1:8" ht="16.8" x14ac:dyDescent="0.3">
      <c r="A1" s="10" t="s">
        <v>0</v>
      </c>
      <c r="B1" s="10"/>
      <c r="C1" s="10"/>
      <c r="D1" s="10"/>
      <c r="E1" s="10"/>
      <c r="F1" s="10"/>
      <c r="G1" s="10"/>
      <c r="H1" s="10"/>
    </row>
    <row r="2" spans="1:8" x14ac:dyDescent="0.3">
      <c r="A2" s="11" t="s">
        <v>1</v>
      </c>
      <c r="B2" s="11"/>
      <c r="C2" s="11"/>
      <c r="D2" s="11"/>
      <c r="E2" s="11"/>
      <c r="F2" s="11"/>
      <c r="G2" s="11"/>
      <c r="H2" s="11"/>
    </row>
    <row r="4" spans="1:8" x14ac:dyDescent="0.3">
      <c r="A4" s="1" t="s">
        <v>2</v>
      </c>
      <c r="B4" s="9">
        <v>46242.666666666664</v>
      </c>
      <c r="D4" s="1" t="s">
        <v>3</v>
      </c>
      <c r="E4" t="s">
        <v>4</v>
      </c>
    </row>
    <row r="5" spans="1:8" x14ac:dyDescent="0.3">
      <c r="A5" s="1" t="s">
        <v>5</v>
      </c>
      <c r="B5" t="s">
        <v>86</v>
      </c>
      <c r="D5" s="1" t="s">
        <v>6</v>
      </c>
      <c r="E5" t="s">
        <v>4</v>
      </c>
    </row>
    <row r="6" spans="1:8" x14ac:dyDescent="0.3">
      <c r="A6" s="1" t="s">
        <v>7</v>
      </c>
      <c r="B6" t="s">
        <v>8</v>
      </c>
      <c r="D6" s="1" t="s">
        <v>9</v>
      </c>
      <c r="E6" t="s">
        <v>10</v>
      </c>
    </row>
    <row r="8" spans="1:8" ht="39.6" x14ac:dyDescent="0.3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</row>
    <row r="9" spans="1:8" ht="54.75" customHeight="1" x14ac:dyDescent="0.3">
      <c r="A9" s="3">
        <v>1</v>
      </c>
      <c r="B9" s="4" t="s">
        <v>19</v>
      </c>
      <c r="C9" s="4" t="s">
        <v>20</v>
      </c>
      <c r="D9" s="3" t="s">
        <v>21</v>
      </c>
      <c r="E9" s="5" t="s">
        <v>22</v>
      </c>
      <c r="F9" s="4" t="s">
        <v>23</v>
      </c>
      <c r="G9" s="3" t="s">
        <v>24</v>
      </c>
      <c r="H9" s="3" t="s">
        <v>25</v>
      </c>
    </row>
    <row r="10" spans="1:8" ht="54.75" customHeight="1" x14ac:dyDescent="0.3">
      <c r="A10" s="3">
        <v>2</v>
      </c>
      <c r="B10" s="4" t="s">
        <v>26</v>
      </c>
      <c r="C10" s="4" t="s">
        <v>27</v>
      </c>
      <c r="D10" s="3" t="s">
        <v>28</v>
      </c>
      <c r="E10" s="6" t="s">
        <v>29</v>
      </c>
      <c r="F10" s="4" t="s">
        <v>30</v>
      </c>
      <c r="G10" s="3" t="s">
        <v>24</v>
      </c>
      <c r="H10" s="3" t="s">
        <v>25</v>
      </c>
    </row>
    <row r="11" spans="1:8" ht="54.75" customHeight="1" x14ac:dyDescent="0.3">
      <c r="A11" s="3">
        <v>3</v>
      </c>
      <c r="B11" s="4" t="s">
        <v>31</v>
      </c>
      <c r="C11" s="4" t="s">
        <v>32</v>
      </c>
      <c r="D11" s="3" t="s">
        <v>33</v>
      </c>
      <c r="E11" s="6" t="s">
        <v>29</v>
      </c>
      <c r="F11" s="4" t="s">
        <v>34</v>
      </c>
      <c r="G11" s="3" t="s">
        <v>24</v>
      </c>
      <c r="H11" s="3" t="s">
        <v>25</v>
      </c>
    </row>
    <row r="12" spans="1:8" ht="54.75" customHeight="1" x14ac:dyDescent="0.3">
      <c r="A12" s="3">
        <v>4</v>
      </c>
      <c r="B12" s="4" t="s">
        <v>35</v>
      </c>
      <c r="C12" s="4" t="s">
        <v>36</v>
      </c>
      <c r="D12" s="3" t="s">
        <v>37</v>
      </c>
      <c r="E12" s="5" t="s">
        <v>22</v>
      </c>
      <c r="F12" s="4" t="s">
        <v>38</v>
      </c>
      <c r="G12" s="3" t="s">
        <v>24</v>
      </c>
      <c r="H12" s="3" t="s">
        <v>25</v>
      </c>
    </row>
    <row r="13" spans="1:8" ht="54.75" customHeight="1" x14ac:dyDescent="0.3">
      <c r="A13" s="3">
        <v>5</v>
      </c>
      <c r="B13" s="4" t="s">
        <v>39</v>
      </c>
      <c r="C13" s="4" t="s">
        <v>40</v>
      </c>
      <c r="D13" s="3" t="s">
        <v>41</v>
      </c>
      <c r="E13" s="7" t="s">
        <v>42</v>
      </c>
      <c r="F13" s="4" t="s">
        <v>43</v>
      </c>
      <c r="G13" s="3" t="s">
        <v>24</v>
      </c>
      <c r="H13" s="3" t="s">
        <v>25</v>
      </c>
    </row>
    <row r="14" spans="1:8" ht="54.75" customHeight="1" x14ac:dyDescent="0.3">
      <c r="A14" s="3">
        <v>6</v>
      </c>
      <c r="B14" s="4" t="s">
        <v>44</v>
      </c>
      <c r="C14" s="4" t="s">
        <v>45</v>
      </c>
      <c r="D14" s="3" t="s">
        <v>46</v>
      </c>
      <c r="E14" s="6" t="s">
        <v>29</v>
      </c>
      <c r="F14" s="4" t="s">
        <v>47</v>
      </c>
      <c r="G14" s="3" t="s">
        <v>24</v>
      </c>
      <c r="H14" s="3" t="s">
        <v>25</v>
      </c>
    </row>
    <row r="15" spans="1:8" ht="54.75" customHeight="1" x14ac:dyDescent="0.3">
      <c r="A15" s="3">
        <v>7</v>
      </c>
      <c r="B15" s="4" t="s">
        <v>48</v>
      </c>
      <c r="C15" s="4" t="s">
        <v>49</v>
      </c>
      <c r="D15" s="3" t="s">
        <v>21</v>
      </c>
      <c r="E15" s="5" t="s">
        <v>22</v>
      </c>
      <c r="F15" s="4" t="s">
        <v>50</v>
      </c>
      <c r="G15" s="3" t="s">
        <v>51</v>
      </c>
      <c r="H15" s="3" t="s">
        <v>25</v>
      </c>
    </row>
    <row r="16" spans="1:8" ht="54.75" customHeight="1" x14ac:dyDescent="0.3">
      <c r="A16" s="3">
        <v>8</v>
      </c>
      <c r="B16" s="4" t="s">
        <v>52</v>
      </c>
      <c r="C16" s="4" t="s">
        <v>53</v>
      </c>
      <c r="D16" s="3" t="s">
        <v>21</v>
      </c>
      <c r="E16" s="5" t="s">
        <v>22</v>
      </c>
      <c r="F16" s="4" t="s">
        <v>54</v>
      </c>
      <c r="G16" s="3" t="s">
        <v>51</v>
      </c>
      <c r="H16" s="3" t="s">
        <v>25</v>
      </c>
    </row>
    <row r="17" spans="1:8" ht="54.75" customHeight="1" x14ac:dyDescent="0.3">
      <c r="A17" s="3">
        <v>9</v>
      </c>
      <c r="B17" s="4" t="s">
        <v>55</v>
      </c>
      <c r="C17" s="4" t="s">
        <v>56</v>
      </c>
      <c r="D17" s="3" t="s">
        <v>28</v>
      </c>
      <c r="E17" s="6" t="s">
        <v>29</v>
      </c>
      <c r="F17" s="4" t="s">
        <v>57</v>
      </c>
      <c r="G17" s="3" t="s">
        <v>51</v>
      </c>
      <c r="H17" s="3" t="s">
        <v>25</v>
      </c>
    </row>
    <row r="18" spans="1:8" ht="54.75" customHeight="1" x14ac:dyDescent="0.3">
      <c r="A18" s="3">
        <v>10</v>
      </c>
      <c r="B18" s="4" t="s">
        <v>58</v>
      </c>
      <c r="C18" s="4" t="s">
        <v>59</v>
      </c>
      <c r="D18" s="3" t="s">
        <v>28</v>
      </c>
      <c r="E18" s="6" t="s">
        <v>29</v>
      </c>
      <c r="F18" s="4" t="s">
        <v>60</v>
      </c>
      <c r="G18" s="3" t="s">
        <v>51</v>
      </c>
      <c r="H18" s="3" t="s">
        <v>25</v>
      </c>
    </row>
    <row r="19" spans="1:8" ht="54.75" customHeight="1" x14ac:dyDescent="0.3">
      <c r="A19" s="3">
        <v>11</v>
      </c>
      <c r="B19" s="4" t="s">
        <v>61</v>
      </c>
      <c r="C19" s="4" t="s">
        <v>62</v>
      </c>
      <c r="D19" s="3" t="s">
        <v>33</v>
      </c>
      <c r="E19" s="5" t="s">
        <v>22</v>
      </c>
      <c r="F19" s="4" t="s">
        <v>63</v>
      </c>
      <c r="G19" s="3" t="s">
        <v>51</v>
      </c>
      <c r="H19" s="3" t="s">
        <v>25</v>
      </c>
    </row>
    <row r="20" spans="1:8" ht="54.75" customHeight="1" x14ac:dyDescent="0.3">
      <c r="A20" s="3">
        <v>12</v>
      </c>
      <c r="B20" s="4" t="s">
        <v>64</v>
      </c>
      <c r="C20" s="4" t="s">
        <v>65</v>
      </c>
      <c r="D20" s="3" t="s">
        <v>33</v>
      </c>
      <c r="E20" s="5" t="s">
        <v>22</v>
      </c>
      <c r="F20" s="4" t="s">
        <v>66</v>
      </c>
      <c r="G20" s="3" t="s">
        <v>51</v>
      </c>
      <c r="H20" s="3" t="s">
        <v>25</v>
      </c>
    </row>
    <row r="21" spans="1:8" ht="54.75" customHeight="1" x14ac:dyDescent="0.3">
      <c r="A21" s="3">
        <v>13</v>
      </c>
      <c r="B21" s="4" t="s">
        <v>88</v>
      </c>
      <c r="C21" s="4" t="s">
        <v>89</v>
      </c>
      <c r="D21" s="3" t="s">
        <v>28</v>
      </c>
      <c r="E21" s="6" t="s">
        <v>29</v>
      </c>
      <c r="F21" s="4" t="s">
        <v>90</v>
      </c>
      <c r="G21" s="3" t="s">
        <v>67</v>
      </c>
      <c r="H21" s="3" t="s">
        <v>25</v>
      </c>
    </row>
    <row r="22" spans="1:8" ht="54.75" customHeight="1" x14ac:dyDescent="0.3">
      <c r="A22" s="3">
        <v>14</v>
      </c>
      <c r="B22" s="4" t="s">
        <v>68</v>
      </c>
      <c r="C22" s="4" t="s">
        <v>69</v>
      </c>
      <c r="D22" s="3" t="s">
        <v>28</v>
      </c>
      <c r="E22" s="5" t="s">
        <v>22</v>
      </c>
      <c r="F22" s="4" t="s">
        <v>68</v>
      </c>
      <c r="G22" s="3" t="s">
        <v>67</v>
      </c>
      <c r="H22" s="3" t="s">
        <v>25</v>
      </c>
    </row>
    <row r="23" spans="1:8" ht="54.75" customHeight="1" x14ac:dyDescent="0.3">
      <c r="A23" s="3">
        <v>15</v>
      </c>
      <c r="B23" s="4" t="s">
        <v>70</v>
      </c>
      <c r="C23" s="4" t="s">
        <v>71</v>
      </c>
      <c r="D23" s="3" t="s">
        <v>33</v>
      </c>
      <c r="E23" s="6" t="s">
        <v>29</v>
      </c>
      <c r="F23" s="4" t="s">
        <v>72</v>
      </c>
      <c r="G23" s="3" t="s">
        <v>67</v>
      </c>
      <c r="H23" s="3" t="s">
        <v>25</v>
      </c>
    </row>
    <row r="24" spans="1:8" ht="54.75" customHeight="1" x14ac:dyDescent="0.3">
      <c r="A24" s="3">
        <v>16</v>
      </c>
      <c r="B24" s="4" t="s">
        <v>87</v>
      </c>
      <c r="C24" s="4" t="s">
        <v>73</v>
      </c>
      <c r="D24" s="3" t="s">
        <v>33</v>
      </c>
      <c r="E24" s="7" t="s">
        <v>42</v>
      </c>
      <c r="F24" s="4" t="s">
        <v>91</v>
      </c>
      <c r="G24" s="3" t="s">
        <v>67</v>
      </c>
      <c r="H24" s="3" t="s">
        <v>25</v>
      </c>
    </row>
    <row r="25" spans="1:8" ht="54.75" customHeight="1" x14ac:dyDescent="0.3">
      <c r="A25" s="3">
        <v>17</v>
      </c>
      <c r="B25" s="4" t="s">
        <v>74</v>
      </c>
      <c r="C25" s="4" t="s">
        <v>75</v>
      </c>
      <c r="D25" s="3" t="s">
        <v>37</v>
      </c>
      <c r="E25" s="5" t="s">
        <v>22</v>
      </c>
      <c r="F25" s="4" t="s">
        <v>74</v>
      </c>
      <c r="G25" s="3" t="s">
        <v>67</v>
      </c>
      <c r="H25" s="3" t="s">
        <v>25</v>
      </c>
    </row>
    <row r="26" spans="1:8" ht="54.75" customHeight="1" x14ac:dyDescent="0.3">
      <c r="A26" s="3">
        <v>18</v>
      </c>
      <c r="B26" s="4" t="s">
        <v>76</v>
      </c>
      <c r="C26" s="4" t="s">
        <v>77</v>
      </c>
      <c r="D26" s="3" t="s">
        <v>28</v>
      </c>
      <c r="E26" s="5" t="s">
        <v>22</v>
      </c>
      <c r="F26" s="4" t="s">
        <v>78</v>
      </c>
      <c r="G26" s="3" t="s">
        <v>67</v>
      </c>
      <c r="H26" s="3" t="s">
        <v>25</v>
      </c>
    </row>
    <row r="28" spans="1:8" ht="10.8" customHeight="1" x14ac:dyDescent="0.3">
      <c r="A28" s="12" t="s">
        <v>79</v>
      </c>
      <c r="B28" s="12"/>
      <c r="C28" s="12"/>
      <c r="D28" s="12"/>
      <c r="E28" s="12"/>
      <c r="F28" s="12"/>
      <c r="G28" s="12"/>
      <c r="H28" s="12"/>
    </row>
    <row r="30" spans="1:8" x14ac:dyDescent="0.3">
      <c r="A30" s="1" t="s">
        <v>80</v>
      </c>
    </row>
    <row r="31" spans="1:8" x14ac:dyDescent="0.3">
      <c r="A31" s="8" t="s">
        <v>81</v>
      </c>
      <c r="B31">
        <f>COUNTIF(E9:E26,"Crítico")</f>
        <v>2</v>
      </c>
      <c r="C31" s="8" t="s">
        <v>82</v>
      </c>
      <c r="D31">
        <f>COUNTIF(E9:E26,"Mayor")</f>
        <v>7</v>
      </c>
      <c r="E31" s="8" t="s">
        <v>83</v>
      </c>
      <c r="F31">
        <f>COUNTIF(E9:E26,"Menor")</f>
        <v>9</v>
      </c>
    </row>
    <row r="32" spans="1:8" x14ac:dyDescent="0.3">
      <c r="A32" s="1" t="s">
        <v>84</v>
      </c>
      <c r="B32">
        <f>COUNTA(C9:C26)</f>
        <v>18</v>
      </c>
    </row>
    <row r="33" spans="1:4" x14ac:dyDescent="0.3">
      <c r="A33" s="1" t="s">
        <v>85</v>
      </c>
      <c r="D33">
        <f>COUNTIF(E9:E26,"Crítico")+COUNTIF(E9:E26,"Mayor")</f>
        <v>9</v>
      </c>
    </row>
  </sheetData>
  <mergeCells count="3">
    <mergeCell ref="A1:H1"/>
    <mergeCell ref="A2:H2"/>
    <mergeCell ref="A28:H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B - Registro Defectos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Andy Mendoza</cp:lastModifiedBy>
  <cp:revision>0</cp:revision>
  <dcterms:created xsi:type="dcterms:W3CDTF">2026-08-08T20:21:48Z</dcterms:created>
  <dcterms:modified xsi:type="dcterms:W3CDTF">2026-08-08T21:46:42Z</dcterms:modified>
  <dc:language>en-US</dc:language>
</cp:coreProperties>
</file>