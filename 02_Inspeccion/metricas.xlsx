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as de Inspec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<sst xmlns="http://schemas.openxmlformats.org/spreadsheetml/2006/main" count="61" uniqueCount="54">
  <si>
    <t xml:space="preserve">MÉTRICAS DE LA INSPECCIÓN FORMAL FAGAN</t>
  </si>
  <si>
    <t xml:space="preserve">PE4 — Unidad IV | Sistema del PFC: MundiPets | ERS_SRS_2A_v1.0 | Alcance: Secciones 2, 3 y 5</t>
  </si>
  <si>
    <t xml:space="preserve">1. Métricas generales</t>
  </si>
  <si>
    <t xml:space="preserve">Métrica</t>
  </si>
  <si>
    <t xml:space="preserve">Valor</t>
  </si>
  <si>
    <t xml:space="preserve">Unidad</t>
  </si>
  <si>
    <t xml:space="preserve">Defectos totales detectados</t>
  </si>
  <si>
    <t xml:space="preserve">defectos</t>
  </si>
  <si>
    <t xml:space="preserve">Páginas efectivas del alcance</t>
  </si>
  <si>
    <t xml:space="preserve">páginas</t>
  </si>
  <si>
    <t xml:space="preserve">Densidad de defectos</t>
  </si>
  <si>
    <t xml:space="preserve">defectos/página</t>
  </si>
  <si>
    <t xml:space="preserve">Esfuerzo de preparación individual</t>
  </si>
  <si>
    <t xml:space="preserve">horas-persona</t>
  </si>
  <si>
    <t xml:space="preserve">Esfuerzo de la reunión (3 personas x 60 min)</t>
  </si>
  <si>
    <t xml:space="preserve">Esfuerzo total de la inspección</t>
  </si>
  <si>
    <t xml:space="preserve">Productividad de la inspección</t>
  </si>
  <si>
    <t xml:space="preserve">defectos/hora-persona</t>
  </si>
  <si>
    <t xml:space="preserve">2. Distribución de defectos por tipo</t>
  </si>
  <si>
    <t xml:space="preserve">Tipo</t>
  </si>
  <si>
    <t xml:space="preserve">Cantidad</t>
  </si>
  <si>
    <t xml:space="preserve">Completitud</t>
  </si>
  <si>
    <t xml:space="preserve">Consistencia</t>
  </si>
  <si>
    <t xml:space="preserve">Ambigüedad</t>
  </si>
  <si>
    <t xml:space="preserve">Verificabilidad</t>
  </si>
  <si>
    <t xml:space="preserve">Trazabilidad</t>
  </si>
  <si>
    <t xml:space="preserve">Factibilidad</t>
  </si>
  <si>
    <t xml:space="preserve">3. Distribución de defectos por severidad</t>
  </si>
  <si>
    <t xml:space="preserve">Severidad</t>
  </si>
  <si>
    <t xml:space="preserve">Crítico</t>
  </si>
  <si>
    <t xml:space="preserve">Mayor</t>
  </si>
  <si>
    <t xml:space="preserve">Menor</t>
  </si>
  <si>
    <t xml:space="preserve">4. Tasa de detección por inspector</t>
  </si>
  <si>
    <t xml:space="preserve">Inspector</t>
  </si>
  <si>
    <t xml:space="preserve">Rol</t>
  </si>
  <si>
    <t xml:space="preserve">Defectos detectados</t>
  </si>
  <si>
    <t xml:space="preserve">% del total</t>
  </si>
  <si>
    <t xml:space="preserve">Andy Mendoza</t>
  </si>
  <si>
    <t xml:space="preserve">Moderador / Lector</t>
  </si>
  <si>
    <t xml:space="preserve">Winston Cedeño</t>
  </si>
  <si>
    <t xml:space="preserve">Inspector 1</t>
  </si>
  <si>
    <t xml:space="preserve">Mayra Córdova</t>
  </si>
  <si>
    <t xml:space="preserve">Inspector 2</t>
  </si>
  <si>
    <t xml:space="preserve">5. Esfuerzo de preparación individual por integrante</t>
  </si>
  <si>
    <t xml:space="preserve">Integrante</t>
  </si>
  <si>
    <t xml:space="preserve">Inicio</t>
  </si>
  <si>
    <t xml:space="preserve">Fin</t>
  </si>
  <si>
    <t xml:space="preserve">Horas</t>
  </si>
  <si>
    <t xml:space="preserve">09:00</t>
  </si>
  <si>
    <t xml:space="preserve">11:15</t>
  </si>
  <si>
    <t xml:space="preserve">10:00</t>
  </si>
  <si>
    <t xml:space="preserve">11:30</t>
  </si>
  <si>
    <t xml:space="preserve">10:15</t>
  </si>
  <si>
    <t xml:space="preserve">Total preparación individual (horas-persona):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</si>
</sst>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CB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8CBCB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defectos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'Metricas de Inspeccion'!B15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'Metricas de Inspeccion'!$A$16:$A$21</c:f>
              <c:strCache>
                <c:ptCount val="6"/>
                <c:pt idx="0">
                  <c:v>Completitud</c:v>
                </c:pt>
                <c:pt idx="1">
                  <c:v>Consistencia</c:v>
                </c:pt>
                <c:pt idx="2">
                  <c:v>Ambigüedad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'Metricas de Inspeccion'!$B$16:$B$21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73780010"/>
        <c:axId val="27308023"/>
      </c:barChart>
      <c:catAx>
        <c:axId val="737800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08023"/>
        <c:crosses val="autoZero"/>
        <c:auto val="1"/>
        <c:lblAlgn val="ctr"/>
        <c:lblOffset val="100"/>
        <c:noMultiLvlLbl val="0"/>
      </c:catAx>
      <c:valAx>
        <c:axId val="27308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80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defectos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'Metricas de Inspeccion'!B24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'Metricas de Inspeccion'!$A$25:$A$27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'Metricas de Inspeccion'!$B$25:$B$27</c:f>
              <c:numCache>
                <c:formatCode>General</c:formatCode>
                <c:ptCount val="3"/>
                <c:pt idx="0">
                  <c:v>2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Defectos detectados por inspector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'Metricas de Inspeccion'!C30</c:f>
              <c:strCache>
                <c:ptCount val="1"/>
                <c:pt idx="0">
                  <c:v>Defectos detectados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'Metricas de Inspeccion'!$A$31:$A$33</c:f>
              <c:strCache>
                <c:ptCount val="3"/>
                <c:pt idx="0">
                  <c:v>Andy Mendoza</c:v>
                </c:pt>
                <c:pt idx="1">
                  <c:v>Winston Cedeño</c:v>
                </c:pt>
                <c:pt idx="2">
                  <c:v>Mayra Córdova</c:v>
                </c:pt>
              </c:strCache>
            </c:strRef>
          </c:cat>
          <c:val>
            <c:numRef>
              <c:f>'Metricas de Inspeccion'!$C$31:$C$33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85431016"/>
        <c:axId val="35307236"/>
      </c:barChart>
      <c:catAx>
        <c:axId val="8543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07236"/>
        <c:crosses val="autoZero"/>
        <c:auto val="1"/>
        <c:lblAlgn val="ctr"/>
        <c:lblOffset val="100"/>
        <c:noMultiLvlLbl val="0"/>
      </c:catAx>
      <c:valAx>
        <c:axId val="35307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31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12</xdr:col>
      <xdr:colOff>38880</xdr:colOff>
      <xdr:row>16</xdr:row>
      <xdr:rowOff>28800</xdr:rowOff>
    </xdr:to>
    <xdr:graphicFrame>
      <xdr:nvGraphicFramePr>
        <xdr:cNvPr id="0" name="Chart 1"/>
        <xdr:cNvGraphicFramePr/>
      </xdr:nvGraphicFramePr>
      <xdr:xfrm>
        <a:off x="6814080" y="571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176040</xdr:rowOff>
    </xdr:from>
    <xdr:to>
      <xdr:col>12</xdr:col>
      <xdr:colOff>38880</xdr:colOff>
      <xdr:row>31</xdr:row>
      <xdr:rowOff>28440</xdr:rowOff>
    </xdr:to>
    <xdr:graphicFrame>
      <xdr:nvGraphicFramePr>
        <xdr:cNvPr id="1" name="Chart 2"/>
        <xdr:cNvGraphicFramePr/>
      </xdr:nvGraphicFramePr>
      <xdr:xfrm>
        <a:off x="6814080" y="3429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32</xdr:row>
      <xdr:rowOff>176040</xdr:rowOff>
    </xdr:from>
    <xdr:to>
      <xdr:col>12</xdr:col>
      <xdr:colOff>38880</xdr:colOff>
      <xdr:row>46</xdr:row>
      <xdr:rowOff>28800</xdr:rowOff>
    </xdr:to>
    <xdr:graphicFrame>
      <xdr:nvGraphicFramePr>
        <xdr:cNvPr id="2" name="Chart 3"/>
        <xdr:cNvGraphicFramePr/>
      </xdr:nvGraphicFramePr>
      <xdr:xfrm>
        <a:off x="6814080" y="6286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18</v>
      </c>
      <c r="C6" s="5" t="s">
        <v>7</v>
      </c>
    </row>
    <row r="7" customFormat="false" ht="15" hidden="false" customHeight="false" outlineLevel="0" collapsed="false">
      <c r="A7" s="5" t="s">
        <v>8</v>
      </c>
      <c r="B7" s="6" t="n">
        <v>50</v>
      </c>
      <c r="C7" s="5" t="s">
        <v>9</v>
      </c>
    </row>
    <row r="8" customFormat="false" ht="15" hidden="false" customHeight="false" outlineLevel="0" collapsed="false">
      <c r="A8" s="5" t="s">
        <v>10</v>
      </c>
      <c r="B8" s="7" t="n">
        <f aca="false">B6/B7</f>
        <v>0.36</v>
      </c>
      <c r="C8" s="5" t="s">
        <v>11</v>
      </c>
    </row>
    <row r="9" customFormat="false" ht="15" hidden="false" customHeight="false" outlineLevel="0" collapsed="false">
      <c r="A9" s="5" t="s">
        <v>12</v>
      </c>
      <c r="B9" s="6" t="n">
        <v>5</v>
      </c>
      <c r="C9" s="5" t="s">
        <v>13</v>
      </c>
    </row>
    <row r="10" customFormat="false" ht="15" hidden="false" customHeight="false" outlineLevel="0" collapsed="false">
      <c r="A10" s="5" t="s">
        <v>14</v>
      </c>
      <c r="B10" s="6" t="n">
        <v>3</v>
      </c>
      <c r="C10" s="5" t="s">
        <v>13</v>
      </c>
    </row>
    <row r="11" customFormat="false" ht="15" hidden="false" customHeight="false" outlineLevel="0" collapsed="false">
      <c r="A11" s="5" t="s">
        <v>15</v>
      </c>
      <c r="B11" s="6" t="n">
        <f aca="false">B9+B10</f>
        <v>8</v>
      </c>
      <c r="C11" s="5" t="s">
        <v>13</v>
      </c>
    </row>
    <row r="12" customFormat="false" ht="15" hidden="false" customHeight="false" outlineLevel="0" collapsed="false">
      <c r="A12" s="5" t="s">
        <v>16</v>
      </c>
      <c r="B12" s="7" t="n">
        <f aca="false">B6/B11</f>
        <v>2.25</v>
      </c>
      <c r="C12" s="5" t="s">
        <v>17</v>
      </c>
    </row>
    <row r="14" customFormat="false" ht="15" hidden="false" customHeight="false" outlineLevel="0" collapsed="false">
      <c r="A14" s="3" t="s">
        <v>18</v>
      </c>
    </row>
    <row r="15" customFormat="false" ht="15" hidden="false" customHeight="false" outlineLevel="0" collapsed="false">
      <c r="A15" s="4" t="s">
        <v>19</v>
      </c>
      <c r="B15" s="4" t="s">
        <v>20</v>
      </c>
    </row>
    <row r="16" customFormat="false" ht="15" hidden="false" customHeight="false" outlineLevel="0" collapsed="false">
      <c r="A16" s="5" t="s">
        <v>21</v>
      </c>
      <c r="B16" s="6" t="n">
        <v>6</v>
      </c>
    </row>
    <row r="17" customFormat="false" ht="15" hidden="false" customHeight="false" outlineLevel="0" collapsed="false">
      <c r="A17" s="5" t="s">
        <v>22</v>
      </c>
      <c r="B17" s="6" t="n">
        <v>5</v>
      </c>
    </row>
    <row r="18" customFormat="false" ht="15" hidden="false" customHeight="false" outlineLevel="0" collapsed="false">
      <c r="A18" s="5" t="s">
        <v>23</v>
      </c>
      <c r="B18" s="6" t="n">
        <v>3</v>
      </c>
    </row>
    <row r="19" customFormat="false" ht="15" hidden="false" customHeight="false" outlineLevel="0" collapsed="false">
      <c r="A19" s="5" t="s">
        <v>24</v>
      </c>
      <c r="B19" s="6" t="n">
        <v>2</v>
      </c>
    </row>
    <row r="20" customFormat="false" ht="15" hidden="false" customHeight="false" outlineLevel="0" collapsed="false">
      <c r="A20" s="5" t="s">
        <v>25</v>
      </c>
      <c r="B20" s="6" t="n">
        <v>1</v>
      </c>
    </row>
    <row r="21" customFormat="false" ht="15" hidden="false" customHeight="false" outlineLevel="0" collapsed="false">
      <c r="A21" s="5" t="s">
        <v>26</v>
      </c>
      <c r="B21" s="6" t="n">
        <v>1</v>
      </c>
    </row>
    <row r="23" customFormat="false" ht="15" hidden="false" customHeight="false" outlineLevel="0" collapsed="false">
      <c r="A23" s="3" t="s">
        <v>27</v>
      </c>
    </row>
    <row r="24" customFormat="false" ht="15" hidden="false" customHeight="false" outlineLevel="0" collapsed="false">
      <c r="A24" s="4" t="s">
        <v>28</v>
      </c>
      <c r="B24" s="4" t="s">
        <v>20</v>
      </c>
    </row>
    <row r="25" customFormat="false" ht="15" hidden="false" customHeight="false" outlineLevel="0" collapsed="false">
      <c r="A25" s="8" t="s">
        <v>29</v>
      </c>
      <c r="B25" s="9" t="n">
        <v>2</v>
      </c>
    </row>
    <row r="26" customFormat="false" ht="15" hidden="false" customHeight="false" outlineLevel="0" collapsed="false">
      <c r="A26" s="10" t="s">
        <v>30</v>
      </c>
      <c r="B26" s="11" t="n">
        <v>7</v>
      </c>
    </row>
    <row r="27" customFormat="false" ht="15" hidden="false" customHeight="false" outlineLevel="0" collapsed="false">
      <c r="A27" s="12" t="s">
        <v>31</v>
      </c>
      <c r="B27" s="13" t="n">
        <v>9</v>
      </c>
    </row>
    <row r="29" customFormat="false" ht="15" hidden="false" customHeight="false" outlineLevel="0" collapsed="false">
      <c r="A29" s="3" t="s">
        <v>32</v>
      </c>
    </row>
    <row r="30" customFormat="false" ht="15" hidden="false" customHeight="false" outlineLevel="0" collapsed="false">
      <c r="A30" s="14" t="s">
        <v>33</v>
      </c>
      <c r="B30" s="14" t="s">
        <v>34</v>
      </c>
      <c r="C30" s="14" t="s">
        <v>35</v>
      </c>
      <c r="D30" s="14" t="s">
        <v>36</v>
      </c>
    </row>
    <row r="31" customFormat="false" ht="15" hidden="false" customHeight="false" outlineLevel="0" collapsed="false">
      <c r="A31" s="5" t="s">
        <v>37</v>
      </c>
      <c r="B31" s="5" t="s">
        <v>38</v>
      </c>
      <c r="C31" s="6" t="n">
        <v>6</v>
      </c>
      <c r="D31" s="15" t="n">
        <f aca="false">C31/B6</f>
        <v>0.333333333333333</v>
      </c>
    </row>
    <row r="32" customFormat="false" ht="15" hidden="false" customHeight="false" outlineLevel="0" collapsed="false">
      <c r="A32" s="5" t="s">
        <v>39</v>
      </c>
      <c r="B32" s="5" t="s">
        <v>40</v>
      </c>
      <c r="C32" s="6" t="n">
        <v>6</v>
      </c>
      <c r="D32" s="15" t="n">
        <f aca="false">C32/B6</f>
        <v>0.333333333333333</v>
      </c>
    </row>
    <row r="33" customFormat="false" ht="15" hidden="false" customHeight="false" outlineLevel="0" collapsed="false">
      <c r="A33" s="5" t="s">
        <v>41</v>
      </c>
      <c r="B33" s="5" t="s">
        <v>42</v>
      </c>
      <c r="C33" s="6" t="n">
        <v>6</v>
      </c>
      <c r="D33" s="15" t="n">
        <f aca="false">C33/B6</f>
        <v>0.333333333333333</v>
      </c>
    </row>
    <row r="35" customFormat="false" ht="15" hidden="false" customHeight="false" outlineLevel="0" collapsed="false">
      <c r="A35" s="3" t="s">
        <v>43</v>
      </c>
    </row>
    <row r="36" customFormat="false" ht="15" hidden="false" customHeight="false" outlineLevel="0" collapsed="false">
      <c r="A36" s="4" t="s">
        <v>44</v>
      </c>
      <c r="B36" s="4" t="s">
        <v>45</v>
      </c>
      <c r="C36" s="4" t="s">
        <v>46</v>
      </c>
      <c r="D36" s="4" t="s">
        <v>47</v>
      </c>
    </row>
    <row r="37" customFormat="false" ht="15" hidden="false" customHeight="false" outlineLevel="0" collapsed="false">
      <c r="A37" s="5" t="s">
        <v>37</v>
      </c>
      <c r="B37" s="5" t="s">
        <v>48</v>
      </c>
      <c r="C37" s="5" t="s">
        <v>49</v>
      </c>
      <c r="D37" s="6" t="n">
        <v>2.25</v>
      </c>
    </row>
    <row r="38" customFormat="false" ht="15" hidden="false" customHeight="false" outlineLevel="0" collapsed="false">
      <c r="A38" s="5" t="s">
        <v>39</v>
      </c>
      <c r="B38" s="5" t="s">
        <v>50</v>
      </c>
      <c r="C38" s="5" t="s">
        <v>51</v>
      </c>
      <c r="D38" s="6" t="n">
        <v>1.5</v>
      </c>
    </row>
    <row r="39" customFormat="false" ht="15" hidden="false" customHeight="false" outlineLevel="0" collapsed="false">
      <c r="A39" s="5" t="s">
        <v>41</v>
      </c>
      <c r="B39" s="5" t="s">
        <v>52</v>
      </c>
      <c r="C39" s="5" t="s">
        <v>51</v>
      </c>
      <c r="D39" s="6" t="n">
        <v>1.25</v>
      </c>
    </row>
    <row r="41" customFormat="false" ht="15" hidden="false" customHeight="false" outlineLevel="0" collapsed="false">
      <c r="A41" s="16" t="s">
        <v>53</v>
      </c>
      <c r="D41" s="17" t="n">
        <f aca="false">SUM(D37:D39)</f>
        <v>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2026-08-09T00:33:54Z</dcterms:created>
  <dc:creator>openpyxl</dc:creator>
  <dc:description/>
  <dc:language>en-US</dc:language>
  <cp:lastModifiedBy/>
  <dcterms:modified xsi:type="dcterms:W3CDTF">2026-08-09T00:34:00Z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